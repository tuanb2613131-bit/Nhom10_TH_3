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 hop diem" sheetId="1" r:id="rId4"/>
    <sheet state="visible" name="Diem TH" sheetId="2" r:id="rId5"/>
    <sheet state="visible" name="Diem BT lon" sheetId="3" r:id="rId6"/>
    <sheet state="visible" name="Diem LT" sheetId="4" r:id="rId7"/>
    <sheet state="visible" name="bang tham chieu" sheetId="5" r:id="rId8"/>
    <sheet state="visible" name="SV diem &lt; 7" sheetId="6" r:id="rId9"/>
    <sheet state="visible" name="SV diem &gt;= 7" sheetId="7" r:id="rId10"/>
  </sheets>
  <definedNames/>
  <calcPr/>
  <extLst>
    <ext uri="GoogleSheetsCustomDataVersion2">
      <go:sheetsCustomData xmlns:go="http://customooxmlschemas.google.com/" r:id="rId11" roundtripDataChecksum="ZJf+D7ipuEcADhtX0BSbcXu5felOs97rkKzbDkfFv3E="/>
    </ext>
  </extLst>
</workbook>
</file>

<file path=xl/sharedStrings.xml><?xml version="1.0" encoding="utf-8"?>
<sst xmlns="http://schemas.openxmlformats.org/spreadsheetml/2006/main" count="224" uniqueCount="92">
  <si>
    <t>Điểm bài tập lớn</t>
  </si>
  <si>
    <t>Điểm thực hành các buổi</t>
  </si>
  <si>
    <t>ĐIỂM THI HK1-2018-2019 (CT428)</t>
  </si>
  <si>
    <t>Điểm lý thuyết</t>
  </si>
  <si>
    <t>STT</t>
  </si>
  <si>
    <t>Mã SV</t>
  </si>
  <si>
    <t>Họ và tên</t>
  </si>
  <si>
    <t>B1505719</t>
  </si>
  <si>
    <t>Nguyễn Văn Hiếu</t>
  </si>
  <si>
    <t>Điểm TH 1</t>
  </si>
  <si>
    <t>B1505915</t>
  </si>
  <si>
    <t>Lý Minh Trí</t>
  </si>
  <si>
    <t>Điểm TH 2</t>
  </si>
  <si>
    <t>Điểm TH 3</t>
  </si>
  <si>
    <t>B1509874</t>
  </si>
  <si>
    <t>Nguyễn Kiều Mi</t>
  </si>
  <si>
    <t>Ma CB</t>
  </si>
  <si>
    <t>B1509929</t>
  </si>
  <si>
    <t>Đặng Duy Linh</t>
  </si>
  <si>
    <t>1043</t>
  </si>
  <si>
    <t>B1605223</t>
  </si>
  <si>
    <t>Ho va ten</t>
  </si>
  <si>
    <t>Lê Thị Trúc Linh</t>
  </si>
  <si>
    <t>B1605235</t>
  </si>
  <si>
    <t>Nguyen Minh Trung</t>
  </si>
  <si>
    <t>Phạm Thị Huỳnh</t>
  </si>
  <si>
    <t>B1605249</t>
  </si>
  <si>
    <t>Lê Minh Thông</t>
  </si>
  <si>
    <t>Điểm BL lớn</t>
  </si>
  <si>
    <t>B1605285</t>
  </si>
  <si>
    <t>Huỳnh Thị Diễm</t>
  </si>
  <si>
    <t>B1605291</t>
  </si>
  <si>
    <t>Trần Thanh Nguyên</t>
  </si>
  <si>
    <t>Ma MH</t>
  </si>
  <si>
    <t>CT428</t>
  </si>
  <si>
    <t>B1605344</t>
  </si>
  <si>
    <t>Ma NH</t>
  </si>
  <si>
    <t>Nguyễn Thị Đào</t>
  </si>
  <si>
    <t>8</t>
  </si>
  <si>
    <t>B1607025</t>
  </si>
  <si>
    <t>Nguyễn Chí Thanh</t>
  </si>
  <si>
    <t>B1609759</t>
  </si>
  <si>
    <t>Nguyễn Hải Anh</t>
  </si>
  <si>
    <t>Nam hoc</t>
  </si>
  <si>
    <t>2020-2021</t>
  </si>
  <si>
    <t>B1609765</t>
  </si>
  <si>
    <t>Trần Nam Dương</t>
  </si>
  <si>
    <t>Hoc ky</t>
  </si>
  <si>
    <t>1</t>
  </si>
  <si>
    <t>B1609773</t>
  </si>
  <si>
    <t>Nguyễn Duy Khanh</t>
  </si>
  <si>
    <t>Họ và Tên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</si>
  <si>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</si>
  <si>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</si>
  <si>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</si>
  <si>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</si>
  <si>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</si>
  <si>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</si>
  <si>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</si>
  <si>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</si>
  <si>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</si>
  <si>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</si>
  <si>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</si>
  <si>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</si>
  <si>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</si>
  <si>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</si>
  <si>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</si>
  <si>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</si>
  <si>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</si>
  <si>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</si>
  <si>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</si>
  <si>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</si>
  <si>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</si>
  <si>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</si>
  <si>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2B1605223</t>
  </si>
  <si>
    <t>Danh sách Sinh viên</t>
  </si>
  <si>
    <t>Bảng thống kê theo điểm chữ</t>
  </si>
  <si>
    <t>Số lượng sinh viên</t>
  </si>
  <si>
    <t>0B1605235</t>
  </si>
  <si>
    <t>Bảng thống kê SV</t>
  </si>
  <si>
    <t>Số sinh viên điểm BT lớn = 0 hoặc điểm LT = -3</t>
  </si>
  <si>
    <t>Số SV điểm thang 10 &gt;= 7 và điểm chữ B+ hoặc A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</si>
  <si>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</si>
  <si>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</si>
  <si>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</si>
  <si>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</si>
  <si>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</si>
  <si>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</si>
  <si>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</si>
  <si>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</si>
  <si>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Sinh viên điểm &lt; 7</t>
  </si>
  <si>
    <t>Sinh viên điểm &gt;= 7 (B+ hoặc 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</si>
</sst>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13">
    <border/>
    <border>
      <left/>
      <top/>
      <bottom style="thin">
        <color rgb="FF808080"/>
      </bottom>
    </border>
    <border>
      <left/>
      <top/>
      <bottom/>
    </border>
    <border>
      <top/>
      <bottom/>
    </border>
    <border>
      <top/>
      <bottom style="thin">
        <color rgb="FF808080"/>
      </bottom>
    </border>
    <border>
      <right/>
      <top/>
      <bottom/>
    </border>
    <border>
      <right/>
      <top/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3" fillId="3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4" fontId="2" numFmtId="0" xfId="0" applyAlignment="1" applyBorder="1" applyFill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7" fillId="3" fontId="2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4" numFmtId="164" xfId="0" applyFont="1" applyNumberFormat="1"/>
    <xf borderId="0" fillId="0" fontId="1" numFmtId="0" xfId="0" applyAlignment="1" applyFont="1">
      <alignment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4" fontId="2" numFmtId="0" xfId="0" applyAlignment="1" applyBorder="1" applyFill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0" fillId="0" fontId="1" numFmtId="0" xfId="0" applyBorder="1" applyFont="1"/>
    <xf borderId="11" fillId="0" fontId="3" numFmtId="0" xfId="0" applyBorder="1" applyFont="1"/>
    <xf borderId="10" fillId="4" fontId="2" numFmtId="0" xfId="0" applyAlignment="1" applyBorder="1" applyFill="1" applyFont="1">
      <alignment horizontal="center" shrinkToFit="0" vertical="center" wrapText="1"/>
    </xf>
    <xf borderId="8" fillId="4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2" fillId="4" fontId="2" numFmtId="0" xfId="0" applyAlignment="1" applyBorder="1" applyFill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Thống Kê Số Lượng Sinh Viên Theo Điểm Chữ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'bang tham chieu'!$F$12:$F$13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'bang tham chieu'!$E$14:$E$21</c:f>
            </c:strRef>
          </c:cat>
          <c:val>
            <c:numRef>
              <c:f>'bang tham chieu'!$F$14:$F$21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9</xdr:row>
      <xdr:rowOff>171450</xdr:rowOff>
    </xdr:from>
    <xdr:ext cx="3867150" cy="2400300"/>
    <xdr:graphicFrame>
      <xdr:nvGraphicFramePr>
        <xdr:cNvPr id="1797018162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4.86"/>
    <col customWidth="1" min="2" max="2" width="14.0"/>
    <col customWidth="1" min="3" max="3" width="17.71"/>
    <col customWidth="1" min="4" max="4" width="5.86"/>
    <col customWidth="1" min="5" max="5" width="6.57"/>
    <col customWidth="1" min="6" max="6" width="6.43"/>
    <col customWidth="1" min="7" max="7" width="7.57"/>
    <col customWidth="1" min="8" max="8" width="7.43"/>
    <col customWidth="1" min="9" max="9" width="7.57"/>
    <col customWidth="1" min="10" max="26" width="8.71"/>
  </cols>
  <sheetData>
    <row r="1" ht="15.0" customHeight="1">
      <c r="A1" s="1"/>
      <c r="B1" s="4" t="s">
        <v>2</v>
      </c>
      <c r="C1" s="8"/>
      <c r="D1" s="8"/>
      <c r="E1" s="8"/>
      <c r="F1" s="8"/>
      <c r="G1" s="8"/>
      <c r="H1" s="8"/>
      <c r="I1" s="8"/>
      <c r="J1" s="8"/>
      <c r="K1" s="1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13" t="s">
        <v>16</v>
      </c>
      <c r="C2" s="13" t="s">
        <v>19</v>
      </c>
      <c r="D2" s="14" t="s">
        <v>21</v>
      </c>
      <c r="F2" s="14" t="s">
        <v>24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3" t="s">
        <v>33</v>
      </c>
      <c r="C3" s="13" t="s">
        <v>34</v>
      </c>
      <c r="D3" s="14" t="s">
        <v>36</v>
      </c>
      <c r="F3" s="14" t="s">
        <v>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" t="s">
        <v>43</v>
      </c>
      <c r="C4" s="15" t="s">
        <v>44</v>
      </c>
      <c r="D4" s="14" t="s">
        <v>47</v>
      </c>
      <c r="F4" s="14" t="s">
        <v>48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 t="s">
        <v>4</v>
      </c>
      <c r="B6" s="16" t="s">
        <v>5</v>
      </c>
      <c r="C6" s="16" t="s">
        <v>51</v>
      </c>
      <c r="D6" s="16" t="s">
        <v>9</v>
      </c>
      <c r="E6" s="16" t="s">
        <v>12</v>
      </c>
      <c r="F6" s="16" t="s">
        <v>13</v>
      </c>
      <c r="G6" s="16" t="s">
        <v>52</v>
      </c>
      <c r="H6" s="16" t="s">
        <v>53</v>
      </c>
      <c r="I6" s="16" t="s">
        <v>54</v>
      </c>
      <c r="J6" s="16" t="s">
        <v>55</v>
      </c>
      <c r="K6" s="16" t="s">
        <v>56</v>
      </c>
      <c r="L6" s="1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>
        <v>1.0</v>
      </c>
      <c r="B7" s="11" t="s">
        <v>57</v>
      </c>
      <c r="C7" s="17" t="str">
        <f>VLOOKUP(RIGHT(B7,8),'bang tham chieu'!$B$14:$C$27,2,FALSE)</f>
        <v>Nguyễn Văn Hiếu</v>
      </c>
      <c r="D7" s="17">
        <f>VLOOKUP(RIGHT(B7,8),'Diem TH'!$B$3:$F$16,3,FALSE)</f>
        <v>0.45</v>
      </c>
      <c r="E7" s="17">
        <f>VLOOKUP(RIGHT(B7,8),'Diem TH'!$B$3:$F$16,4,FALSE)</f>
        <v>0.25</v>
      </c>
      <c r="F7" s="17">
        <f>VLOOKUP(RIGHT(B7,8),'Diem TH'!$B$3:$F$16,5,FALSE)</f>
        <v>0.3</v>
      </c>
      <c r="G7" s="17">
        <f>VLOOKUP(RIGHT(B7,8),'Diem BT lon'!$B$3:$D$16,3,FALSE)</f>
        <v>0.5</v>
      </c>
      <c r="H7" s="17">
        <f>VLOOKUP(RIGHT(B7,8),'Diem LT'!$B$3:$D$16,3,FALSE)</f>
        <v>4.2</v>
      </c>
      <c r="I7" s="18">
        <f t="shared" ref="I7:I20" si="1">ROUND(D7+E7+F7+G7+0.6*H7,1)</f>
        <v>4</v>
      </c>
      <c r="J7" s="18">
        <f>IF(OR(G7=0,VALUE(LEFT(B7,1))&gt;2),0,ROUND(I7+VLOOKUP(VALUE(LEFT(B7,1)),'bang tham chieu'!$E$3:$F$5,2,FALSE),1))</f>
        <v>5</v>
      </c>
      <c r="K7" s="17" t="str">
        <f>VLOOKUP(J7,'bang tham chieu'!$A$3:$B$10,2,TRUE)</f>
        <v>D+</v>
      </c>
      <c r="L7" s="1"/>
      <c r="M7" s="1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2.0</v>
      </c>
      <c r="B8" s="11" t="s">
        <v>58</v>
      </c>
      <c r="C8" s="17" t="str">
        <f>VLOOKUP(RIGHT(B8,8),'bang tham chieu'!$B$14:$C$27,2,FALSE)</f>
        <v>Lý Minh Trí</v>
      </c>
      <c r="D8" s="17">
        <f>VLOOKUP(RIGHT(B8,8),'Diem TH'!$B$3:$F$16,3,FALSE)</f>
        <v>0.5</v>
      </c>
      <c r="E8" s="17">
        <f>VLOOKUP(RIGHT(B8,8),'Diem TH'!$B$3:$F$16,4,FALSE)</f>
        <v>0.35</v>
      </c>
      <c r="F8" s="17">
        <f>VLOOKUP(RIGHT(B8,8),'Diem TH'!$B$3:$F$16,5,FALSE)</f>
        <v>0.4</v>
      </c>
      <c r="G8" s="17">
        <f>VLOOKUP(RIGHT(B8,8),'Diem BT lon'!$B$3:$D$16,3,FALSE)</f>
        <v>1</v>
      </c>
      <c r="H8" s="17">
        <f>VLOOKUP(RIGHT(B8,8),'Diem LT'!$B$3:$D$16,3,FALSE)</f>
        <v>5.8</v>
      </c>
      <c r="I8" s="18">
        <f t="shared" si="1"/>
        <v>5.7</v>
      </c>
      <c r="J8" s="18">
        <f>IF(OR(G8=0,VALUE(LEFT(B8,1))&gt;2),0,ROUND(I8+VLOOKUP(VALUE(LEFT(B8,1)),'bang tham chieu'!$E$3:$F$5,2,FALSE),1))</f>
        <v>6.2</v>
      </c>
      <c r="K8" s="17" t="str">
        <f>VLOOKUP(J8,'bang tham chieu'!$A$3:$B$10,2,TRUE)</f>
        <v>C</v>
      </c>
      <c r="L8" s="1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>
        <v>3.0</v>
      </c>
      <c r="B9" s="11" t="s">
        <v>59</v>
      </c>
      <c r="C9" s="17" t="str">
        <f>VLOOKUP(RIGHT(B9,8),'bang tham chieu'!$B$14:$C$27,2,FALSE)</f>
        <v>Nguyễn Kiều Mi</v>
      </c>
      <c r="D9" s="17">
        <f>VLOOKUP(RIGHT(B9,8),'Diem TH'!$B$3:$F$16,3,FALSE)</f>
        <v>0.25</v>
      </c>
      <c r="E9" s="17">
        <f>VLOOKUP(RIGHT(B9,8),'Diem TH'!$B$3:$F$16,4,FALSE)</f>
        <v>0.25</v>
      </c>
      <c r="F9" s="17">
        <f>VLOOKUP(RIGHT(B9,8),'Diem TH'!$B$3:$F$16,5,FALSE)</f>
        <v>0.3</v>
      </c>
      <c r="G9" s="17">
        <f>VLOOKUP(RIGHT(B9,8),'Diem BT lon'!$B$3:$D$16,3,FALSE)</f>
        <v>0.5</v>
      </c>
      <c r="H9" s="17">
        <f>VLOOKUP(RIGHT(B9,8),'Diem LT'!$B$3:$D$16,3,FALSE)</f>
        <v>5.8</v>
      </c>
      <c r="I9" s="18">
        <f t="shared" si="1"/>
        <v>4.8</v>
      </c>
      <c r="J9" s="18">
        <f>IF(OR(G9=0,VALUE(LEFT(B9,1))&gt;2),0,ROUND(I9+VLOOKUP(VALUE(LEFT(B9,1)),'bang tham chieu'!$E$3:$F$5,2,FALSE),1))</f>
        <v>5.8</v>
      </c>
      <c r="K9" s="17" t="str">
        <f>VLOOKUP(J9,'bang tham chieu'!$A$3:$B$10,2,TRUE)</f>
        <v>C</v>
      </c>
      <c r="L9" s="1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4.0</v>
      </c>
      <c r="B10" s="11" t="s">
        <v>60</v>
      </c>
      <c r="C10" s="17" t="str">
        <f>VLOOKUP(RIGHT(B10,8),'bang tham chieu'!$B$14:$C$27,2,FALSE)</f>
        <v>Đặng Duy Linh</v>
      </c>
      <c r="D10" s="17">
        <f>VLOOKUP(RIGHT(B10,8),'Diem TH'!$B$3:$F$16,3,FALSE)</f>
        <v>0.4</v>
      </c>
      <c r="E10" s="17">
        <f>VLOOKUP(RIGHT(B10,8),'Diem TH'!$B$3:$F$16,4,FALSE)</f>
        <v>0.25</v>
      </c>
      <c r="F10" s="17">
        <f>VLOOKUP(RIGHT(B10,8),'Diem TH'!$B$3:$F$16,5,FALSE)</f>
        <v>0.35</v>
      </c>
      <c r="G10" s="17">
        <f>VLOOKUP(RIGHT(B10,8),'Diem BT lon'!$B$3:$D$16,3,FALSE)</f>
        <v>1</v>
      </c>
      <c r="H10" s="17">
        <f>VLOOKUP(RIGHT(B10,8),'Diem LT'!$B$3:$D$16,3,FALSE)</f>
        <v>4.5</v>
      </c>
      <c r="I10" s="18">
        <f t="shared" si="1"/>
        <v>4.7</v>
      </c>
      <c r="J10" s="18">
        <f>IF(OR(G10=0,VALUE(LEFT(B10,1))&gt;2),0,ROUND(I10+VLOOKUP(VALUE(LEFT(B10,1)),'bang tham chieu'!$E$3:$F$5,2,FALSE),1))</f>
        <v>5.7</v>
      </c>
      <c r="K10" s="17" t="str">
        <f>VLOOKUP(J10,'bang tham chieu'!$A$3:$B$10,2,TRUE)</f>
        <v>C</v>
      </c>
      <c r="L10" s="1"/>
      <c r="M10" s="1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5.0</v>
      </c>
      <c r="B11" s="11" t="s">
        <v>74</v>
      </c>
      <c r="C11" s="17" t="str">
        <f>VLOOKUP(RIGHT(B11,8),'bang tham chieu'!$B$14:$C$27,2,FALSE)</f>
        <v>Lê Thị Trúc Linh</v>
      </c>
      <c r="D11" s="17">
        <f>VLOOKUP(RIGHT(B11,8),'Diem TH'!$B$3:$F$16,3,FALSE)</f>
        <v>0.45</v>
      </c>
      <c r="E11" s="17">
        <f>VLOOKUP(RIGHT(B11,8),'Diem TH'!$B$3:$F$16,4,FALSE)</f>
        <v>0.4</v>
      </c>
      <c r="F11" s="17">
        <f>VLOOKUP(RIGHT(B11,8),'Diem TH'!$B$3:$F$16,5,FALSE)</f>
        <v>0.35</v>
      </c>
      <c r="G11" s="17">
        <f>VLOOKUP(RIGHT(B11,8),'Diem BT lon'!$B$3:$D$16,3,FALSE)</f>
        <v>0.75</v>
      </c>
      <c r="H11" s="17">
        <f>VLOOKUP(RIGHT(B11,8),'Diem LT'!$B$3:$D$16,3,FALSE)</f>
        <v>5.5</v>
      </c>
      <c r="I11" s="18">
        <f t="shared" si="1"/>
        <v>5.3</v>
      </c>
      <c r="J11" s="18">
        <f>IF(OR(G11=0,VALUE(LEFT(B11,1))&gt;2),0,ROUND(I11+VLOOKUP(VALUE(LEFT(B11,1)),'bang tham chieu'!$E$3:$F$5,2,FALSE),1))</f>
        <v>5.6</v>
      </c>
      <c r="K11" s="17" t="str">
        <f>VLOOKUP(J11,'bang tham chieu'!$A$3:$B$10,2,TRUE)</f>
        <v>C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>
        <v>6.0</v>
      </c>
      <c r="B12" s="11" t="s">
        <v>78</v>
      </c>
      <c r="C12" s="17" t="str">
        <f>VLOOKUP(RIGHT(B12,8),'bang tham chieu'!$B$14:$C$27,2,FALSE)</f>
        <v>Phạm Thị Huỳnh</v>
      </c>
      <c r="D12" s="17">
        <f>VLOOKUP(RIGHT(B12,8),'Diem TH'!$B$3:$F$16,3,FALSE)</f>
        <v>0.4</v>
      </c>
      <c r="E12" s="17">
        <f>VLOOKUP(RIGHT(B12,8),'Diem TH'!$B$3:$F$16,4,FALSE)</f>
        <v>0.45</v>
      </c>
      <c r="F12" s="17">
        <f>VLOOKUP(RIGHT(B12,8),'Diem TH'!$B$3:$F$16,5,FALSE)</f>
        <v>0.5</v>
      </c>
      <c r="G12" s="17">
        <f>VLOOKUP(RIGHT(B12,8),'Diem BT lon'!$B$3:$D$16,3,FALSE)</f>
        <v>1.2</v>
      </c>
      <c r="H12" s="17">
        <f>VLOOKUP(RIGHT(B12,8),'Diem LT'!$B$3:$D$16,3,FALSE)</f>
        <v>7.5</v>
      </c>
      <c r="I12" s="18">
        <f t="shared" si="1"/>
        <v>7.1</v>
      </c>
      <c r="J12" s="18">
        <f>IF(OR(G12=0,VALUE(LEFT(B12,1))&gt;2),0,ROUND(I12+VLOOKUP(VALUE(LEFT(B12,1)),'bang tham chieu'!$E$3:$F$5,2,FALSE),1))</f>
        <v>8.1</v>
      </c>
      <c r="K12" s="17" t="str">
        <f>VLOOKUP(J12,'bang tham chieu'!$A$3:$B$10,2,TRUE)</f>
        <v>B+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>
        <v>7.0</v>
      </c>
      <c r="B13" s="11" t="s">
        <v>82</v>
      </c>
      <c r="C13" s="17" t="str">
        <f>VLOOKUP(RIGHT(B13,8),'bang tham chieu'!$B$14:$C$27,2,FALSE)</f>
        <v>Lê Minh Thông</v>
      </c>
      <c r="D13" s="17">
        <f>VLOOKUP(RIGHT(B13,8),'Diem TH'!$B$3:$F$16,3,FALSE)</f>
        <v>0.4</v>
      </c>
      <c r="E13" s="17">
        <f>VLOOKUP(RIGHT(B13,8),'Diem TH'!$B$3:$F$16,4,FALSE)</f>
        <v>0.4</v>
      </c>
      <c r="F13" s="17">
        <f>VLOOKUP(RIGHT(B13,8),'Diem TH'!$B$3:$F$16,5,FALSE)</f>
        <v>0.4</v>
      </c>
      <c r="G13" s="17">
        <f>VLOOKUP(RIGHT(B13,8),'Diem BT lon'!$B$3:$D$16,3,FALSE)</f>
        <v>1</v>
      </c>
      <c r="H13" s="17">
        <f>VLOOKUP(RIGHT(B13,8),'Diem LT'!$B$3:$D$16,3,FALSE)</f>
        <v>5.3</v>
      </c>
      <c r="I13" s="18">
        <f t="shared" si="1"/>
        <v>5.4</v>
      </c>
      <c r="J13" s="18">
        <f>IF(OR(G13=0,VALUE(LEFT(B13,1))&gt;2),0,ROUND(I13+VLOOKUP(VALUE(LEFT(B13,1)),'bang tham chieu'!$E$3:$F$5,2,FALSE),1))</f>
        <v>6.4</v>
      </c>
      <c r="K13" s="17" t="str">
        <f>VLOOKUP(J13,'bang tham chieu'!$A$3:$B$10,2,TRUE)</f>
        <v>C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>
        <v>8.0</v>
      </c>
      <c r="B14" s="11" t="s">
        <v>83</v>
      </c>
      <c r="C14" s="17" t="str">
        <f>VLOOKUP(RIGHT(B14,8),'bang tham chieu'!$B$14:$C$27,2,FALSE)</f>
        <v>Huỳnh Thị Diễm</v>
      </c>
      <c r="D14" s="17">
        <f>VLOOKUP(RIGHT(B14,8),'Diem TH'!$B$3:$F$16,3,FALSE)</f>
        <v>0.45</v>
      </c>
      <c r="E14" s="17">
        <f>VLOOKUP(RIGHT(B14,8),'Diem TH'!$B$3:$F$16,4,FALSE)</f>
        <v>0.4</v>
      </c>
      <c r="F14" s="17">
        <f>VLOOKUP(RIGHT(B14,8),'Diem TH'!$B$3:$F$16,5,FALSE)</f>
        <v>0.45</v>
      </c>
      <c r="G14" s="17">
        <f>VLOOKUP(RIGHT(B14,8),'Diem BT lon'!$B$3:$D$16,3,FALSE)</f>
        <v>0</v>
      </c>
      <c r="H14" s="17">
        <f>VLOOKUP(RIGHT(B14,8),'Diem LT'!$B$3:$D$16,3,FALSE)</f>
        <v>6.8</v>
      </c>
      <c r="I14" s="18">
        <f t="shared" si="1"/>
        <v>5.4</v>
      </c>
      <c r="J14" s="18">
        <f>IF(OR(G14=0,VALUE(LEFT(B14,1))&gt;2),0,ROUND(I14+VLOOKUP(VALUE(LEFT(B14,1)),'bang tham chieu'!$E$3:$F$5,2,FALSE),1))</f>
        <v>0</v>
      </c>
      <c r="K14" s="17" t="str">
        <f>VLOOKUP(J14,'bang tham chieu'!$A$3:$B$10,2,TRUE)</f>
        <v>F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>
        <v>9.0</v>
      </c>
      <c r="B15" s="11" t="s">
        <v>84</v>
      </c>
      <c r="C15" s="17" t="str">
        <f>VLOOKUP(RIGHT(B15,8),'bang tham chieu'!$B$14:$C$27,2,FALSE)</f>
        <v>Trần Thanh Nguyên</v>
      </c>
      <c r="D15" s="17">
        <f>VLOOKUP(RIGHT(B15,8),'Diem TH'!$B$3:$F$16,3,FALSE)</f>
        <v>0.45</v>
      </c>
      <c r="E15" s="17">
        <f>VLOOKUP(RIGHT(B15,8),'Diem TH'!$B$3:$F$16,4,FALSE)</f>
        <v>0.4</v>
      </c>
      <c r="F15" s="17">
        <f>VLOOKUP(RIGHT(B15,8),'Diem TH'!$B$3:$F$16,5,FALSE)</f>
        <v>0.4</v>
      </c>
      <c r="G15" s="17">
        <f>VLOOKUP(RIGHT(B15,8),'Diem BT lon'!$B$3:$D$16,3,FALSE)</f>
        <v>0.75</v>
      </c>
      <c r="H15" s="17">
        <f>VLOOKUP(RIGHT(B15,8),'Diem LT'!$B$3:$D$16,3,FALSE)</f>
        <v>6.3</v>
      </c>
      <c r="I15" s="18">
        <f t="shared" si="1"/>
        <v>5.8</v>
      </c>
      <c r="J15" s="18">
        <f>IF(OR(G15=0,VALUE(LEFT(B15,1))&gt;2),0,ROUND(I15+VLOOKUP(VALUE(LEFT(B15,1)),'bang tham chieu'!$E$3:$F$5,2,FALSE),1))</f>
        <v>6.8</v>
      </c>
      <c r="K15" s="17" t="str">
        <f>VLOOKUP(J15,'bang tham chieu'!$A$3:$B$10,2,TRUE)</f>
        <v>C+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10.0</v>
      </c>
      <c r="B16" s="11" t="s">
        <v>85</v>
      </c>
      <c r="C16" s="17" t="str">
        <f>VLOOKUP(RIGHT(B16,8),'bang tham chieu'!$B$14:$C$27,2,FALSE)</f>
        <v>Nguyễn Thị Đào</v>
      </c>
      <c r="D16" s="17">
        <f>VLOOKUP(RIGHT(B16,8),'Diem TH'!$B$3:$F$16,3,FALSE)</f>
        <v>0.3</v>
      </c>
      <c r="E16" s="17">
        <f>VLOOKUP(RIGHT(B16,8),'Diem TH'!$B$3:$F$16,4,FALSE)</f>
        <v>0.5</v>
      </c>
      <c r="F16" s="17">
        <f>VLOOKUP(RIGHT(B16,8),'Diem TH'!$B$3:$F$16,5,FALSE)</f>
        <v>0.45</v>
      </c>
      <c r="G16" s="17">
        <f>VLOOKUP(RIGHT(B16,8),'Diem BT lon'!$B$3:$D$16,3,FALSE)</f>
        <v>0.3</v>
      </c>
      <c r="H16" s="17">
        <f>VLOOKUP(RIGHT(B16,8),'Diem LT'!$B$3:$D$16,3,FALSE)</f>
        <v>8.3</v>
      </c>
      <c r="I16" s="18">
        <f t="shared" si="1"/>
        <v>6.5</v>
      </c>
      <c r="J16" s="18">
        <f>IF(OR(G16=0,VALUE(LEFT(B16,1))&gt;2),0,ROUND(I16+VLOOKUP(VALUE(LEFT(B16,1)),'bang tham chieu'!$E$3:$F$5,2,FALSE),1))</f>
        <v>7</v>
      </c>
      <c r="K16" s="17" t="str">
        <f>VLOOKUP(J16,'bang tham chieu'!$A$3:$B$10,2,TRUE)</f>
        <v>B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>
        <v>11.0</v>
      </c>
      <c r="B17" s="11" t="s">
        <v>86</v>
      </c>
      <c r="C17" s="17" t="str">
        <f>VLOOKUP(RIGHT(B17,8),'bang tham chieu'!$B$14:$C$27,2,FALSE)</f>
        <v>Nguyễn Chí Thanh</v>
      </c>
      <c r="D17" s="17">
        <f>VLOOKUP(RIGHT(B17,8),'Diem TH'!$B$3:$F$16,3,FALSE)</f>
        <v>0.4</v>
      </c>
      <c r="E17" s="17">
        <f>VLOOKUP(RIGHT(B17,8),'Diem TH'!$B$3:$F$16,4,FALSE)</f>
        <v>0.45</v>
      </c>
      <c r="F17" s="17">
        <f>VLOOKUP(RIGHT(B17,8),'Diem TH'!$B$3:$F$16,5,FALSE)</f>
        <v>0.4</v>
      </c>
      <c r="G17" s="17">
        <f>VLOOKUP(RIGHT(B17,8),'Diem BT lon'!$B$3:$D$16,3,FALSE)</f>
        <v>0.3</v>
      </c>
      <c r="H17" s="17">
        <f>VLOOKUP(RIGHT(B17,8),'Diem LT'!$B$3:$D$16,3,FALSE)</f>
        <v>-3</v>
      </c>
      <c r="I17" s="18">
        <f t="shared" si="1"/>
        <v>-0.3</v>
      </c>
      <c r="J17" s="18">
        <f>IF(OR(G17=0,VALUE(LEFT(B17,1))&gt;2),0,ROUND(I17+VLOOKUP(VALUE(LEFT(B17,1)),'bang tham chieu'!$E$3:$F$5,2,FALSE),1))</f>
        <v>0</v>
      </c>
      <c r="K17" s="17" t="str">
        <f>VLOOKUP(J17,'bang tham chieu'!$A$3:$B$10,2,TRUE)</f>
        <v>F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>
        <v>12.0</v>
      </c>
      <c r="B18" s="11" t="s">
        <v>87</v>
      </c>
      <c r="C18" s="17" t="str">
        <f>VLOOKUP(RIGHT(B18,8),'bang tham chieu'!$B$14:$C$27,2,FALSE)</f>
        <v>Nguyễn Hải Anh</v>
      </c>
      <c r="D18" s="17">
        <f>VLOOKUP(RIGHT(B18,8),'Diem TH'!$B$3:$F$16,3,FALSE)</f>
        <v>0.5</v>
      </c>
      <c r="E18" s="17">
        <f>VLOOKUP(RIGHT(B18,8),'Diem TH'!$B$3:$F$16,4,FALSE)</f>
        <v>0.5</v>
      </c>
      <c r="F18" s="17">
        <f>VLOOKUP(RIGHT(B18,8),'Diem TH'!$B$3:$F$16,5,FALSE)</f>
        <v>0.45</v>
      </c>
      <c r="G18" s="17">
        <f>VLOOKUP(RIGHT(B18,8),'Diem BT lon'!$B$3:$D$16,3,FALSE)</f>
        <v>1.5</v>
      </c>
      <c r="H18" s="17">
        <f>VLOOKUP(RIGHT(B18,8),'Diem LT'!$B$3:$D$16,3,FALSE)</f>
        <v>7</v>
      </c>
      <c r="I18" s="18">
        <f t="shared" si="1"/>
        <v>7.2</v>
      </c>
      <c r="J18" s="18">
        <f>IF(OR(G18=0,VALUE(LEFT(B18,1))&gt;2),0,ROUND(I18+VLOOKUP(VALUE(LEFT(B18,1)),'bang tham chieu'!$E$3:$F$5,2,FALSE),1))</f>
        <v>7.5</v>
      </c>
      <c r="K18" s="17" t="str">
        <f>VLOOKUP(J18,'bang tham chieu'!$A$3:$B$10,2,TRUE)</f>
        <v>B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>
        <v>13.0</v>
      </c>
      <c r="B19" s="11" t="s">
        <v>88</v>
      </c>
      <c r="C19" s="17" t="str">
        <f>VLOOKUP(RIGHT(B19,8),'bang tham chieu'!$B$14:$C$27,2,FALSE)</f>
        <v>Trần Nam Dương</v>
      </c>
      <c r="D19" s="17">
        <f>VLOOKUP(RIGHT(B19,8),'Diem TH'!$B$3:$F$16,3,FALSE)</f>
        <v>0.4</v>
      </c>
      <c r="E19" s="17">
        <f>VLOOKUP(RIGHT(B19,8),'Diem TH'!$B$3:$F$16,4,FALSE)</f>
        <v>0.4</v>
      </c>
      <c r="F19" s="17">
        <f>VLOOKUP(RIGHT(B19,8),'Diem TH'!$B$3:$F$16,5,FALSE)</f>
        <v>0.35</v>
      </c>
      <c r="G19" s="17">
        <f>VLOOKUP(RIGHT(B19,8),'Diem BT lon'!$B$3:$D$16,3,FALSE)</f>
        <v>1.35</v>
      </c>
      <c r="H19" s="17">
        <f>VLOOKUP(RIGHT(B19,8),'Diem LT'!$B$3:$D$16,3,FALSE)</f>
        <v>-3</v>
      </c>
      <c r="I19" s="18">
        <f t="shared" si="1"/>
        <v>0.7</v>
      </c>
      <c r="J19" s="18">
        <f>IF(OR(G19=0,VALUE(LEFT(B19,1))&gt;2),0,ROUND(I19+VLOOKUP(VALUE(LEFT(B19,1)),'bang tham chieu'!$E$3:$F$5,2,FALSE),1))</f>
        <v>0</v>
      </c>
      <c r="K19" s="17" t="str">
        <f>VLOOKUP(J19,'bang tham chieu'!$A$3:$B$10,2,TRUE)</f>
        <v>F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>
        <v>14.0</v>
      </c>
      <c r="B20" s="11" t="s">
        <v>89</v>
      </c>
      <c r="C20" s="17" t="str">
        <f>VLOOKUP(RIGHT(B20,8),'bang tham chieu'!$B$14:$C$27,2,FALSE)</f>
        <v>Nguyễn Duy Khanh</v>
      </c>
      <c r="D20" s="17">
        <f>VLOOKUP(RIGHT(B20,8),'Diem TH'!$B$3:$F$16,3,FALSE)</f>
        <v>0.35</v>
      </c>
      <c r="E20" s="17">
        <f>VLOOKUP(RIGHT(B20,8),'Diem TH'!$B$3:$F$16,4,FALSE)</f>
        <v>0.4</v>
      </c>
      <c r="F20" s="17">
        <f>VLOOKUP(RIGHT(B20,8),'Diem TH'!$B$3:$F$16,5,FALSE)</f>
        <v>0</v>
      </c>
      <c r="G20" s="17">
        <f>VLOOKUP(RIGHT(B20,8),'Diem BT lon'!$B$3:$D$16,3,FALSE)</f>
        <v>0.85</v>
      </c>
      <c r="H20" s="17">
        <f>VLOOKUP(RIGHT(B20,8),'Diem LT'!$B$3:$D$16,3,FALSE)</f>
        <v>6.5</v>
      </c>
      <c r="I20" s="18">
        <f t="shared" si="1"/>
        <v>5.5</v>
      </c>
      <c r="J20" s="18">
        <f>IF(OR(G20=0,VALUE(LEFT(B20,1))&gt;2),0,ROUND(I20+VLOOKUP(VALUE(LEFT(B20,1)),'bang tham chieu'!$E$3:$F$5,2,FALSE),1))</f>
        <v>6.5</v>
      </c>
      <c r="K20" s="17" t="str">
        <f>VLOOKUP(J20,'bang tham chieu'!$A$3:$B$10,2,TRUE)</f>
        <v>C+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D2:E2"/>
    <mergeCell ref="F2:I2"/>
    <mergeCell ref="D3:E3"/>
    <mergeCell ref="F3:I3"/>
    <mergeCell ref="D4:E4"/>
    <mergeCell ref="F4:I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14.0"/>
    <col customWidth="1" min="3" max="3" width="24.0"/>
    <col customWidth="1" min="4" max="6" width="14.0"/>
    <col customWidth="1" min="7" max="26" width="8.71"/>
  </cols>
  <sheetData>
    <row r="1" ht="15.0" customHeight="1">
      <c r="A1" s="2" t="s">
        <v>1</v>
      </c>
      <c r="B1" s="6"/>
      <c r="C1" s="6"/>
      <c r="D1" s="6"/>
      <c r="E1" s="6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4</v>
      </c>
      <c r="B2" s="10" t="s">
        <v>5</v>
      </c>
      <c r="C2" s="10" t="s">
        <v>6</v>
      </c>
      <c r="D2" s="10" t="s">
        <v>9</v>
      </c>
      <c r="E2" s="10" t="s">
        <v>12</v>
      </c>
      <c r="F2" s="10" t="s">
        <v>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>
        <v>1.0</v>
      </c>
      <c r="B3" s="11" t="s">
        <v>7</v>
      </c>
      <c r="C3" s="11" t="s">
        <v>8</v>
      </c>
      <c r="D3" s="11">
        <v>0.45</v>
      </c>
      <c r="E3" s="11">
        <v>0.25</v>
      </c>
      <c r="F3" s="11">
        <v>0.3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>
        <v>2.0</v>
      </c>
      <c r="B4" s="11" t="s">
        <v>10</v>
      </c>
      <c r="C4" s="11" t="s">
        <v>11</v>
      </c>
      <c r="D4" s="11">
        <v>0.5</v>
      </c>
      <c r="E4" s="11">
        <v>0.35</v>
      </c>
      <c r="F4" s="11">
        <v>0.4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>
        <v>3.0</v>
      </c>
      <c r="B5" s="11" t="s">
        <v>14</v>
      </c>
      <c r="C5" s="11" t="s">
        <v>15</v>
      </c>
      <c r="D5" s="11">
        <v>0.25</v>
      </c>
      <c r="E5" s="11">
        <v>0.25</v>
      </c>
      <c r="F5" s="11">
        <v>0.3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>
        <v>4.0</v>
      </c>
      <c r="B6" s="11" t="s">
        <v>17</v>
      </c>
      <c r="C6" s="11" t="s">
        <v>18</v>
      </c>
      <c r="D6" s="11">
        <v>0.4</v>
      </c>
      <c r="E6" s="11">
        <v>0.25</v>
      </c>
      <c r="F6" s="11">
        <v>0.35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>
        <v>5.0</v>
      </c>
      <c r="B7" s="11" t="s">
        <v>20</v>
      </c>
      <c r="C7" s="11" t="s">
        <v>22</v>
      </c>
      <c r="D7" s="11">
        <v>0.45</v>
      </c>
      <c r="E7" s="11">
        <v>0.4</v>
      </c>
      <c r="F7" s="11">
        <v>0.35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6.0</v>
      </c>
      <c r="B8" s="11" t="s">
        <v>23</v>
      </c>
      <c r="C8" s="11" t="s">
        <v>25</v>
      </c>
      <c r="D8" s="11">
        <v>0.4</v>
      </c>
      <c r="E8" s="11">
        <v>0.45</v>
      </c>
      <c r="F8" s="11">
        <v>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>
        <v>7.0</v>
      </c>
      <c r="B9" s="11" t="s">
        <v>26</v>
      </c>
      <c r="C9" s="11" t="s">
        <v>27</v>
      </c>
      <c r="D9" s="11">
        <v>0.4</v>
      </c>
      <c r="E9" s="11">
        <v>0.4</v>
      </c>
      <c r="F9" s="11">
        <v>0.4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8.0</v>
      </c>
      <c r="B10" s="11" t="s">
        <v>29</v>
      </c>
      <c r="C10" s="11" t="s">
        <v>30</v>
      </c>
      <c r="D10" s="11">
        <v>0.45</v>
      </c>
      <c r="E10" s="11">
        <v>0.4</v>
      </c>
      <c r="F10" s="11">
        <v>0.45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9.0</v>
      </c>
      <c r="B11" s="11" t="s">
        <v>31</v>
      </c>
      <c r="C11" s="11" t="s">
        <v>32</v>
      </c>
      <c r="D11" s="11">
        <v>0.45</v>
      </c>
      <c r="E11" s="11">
        <v>0.4</v>
      </c>
      <c r="F11" s="11">
        <v>0.4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>
        <v>10.0</v>
      </c>
      <c r="B12" s="11" t="s">
        <v>35</v>
      </c>
      <c r="C12" s="11" t="s">
        <v>37</v>
      </c>
      <c r="D12" s="11">
        <v>0.3</v>
      </c>
      <c r="E12" s="11">
        <v>0.5</v>
      </c>
      <c r="F12" s="11">
        <v>0.45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>
        <v>11.0</v>
      </c>
      <c r="B13" s="11" t="s">
        <v>39</v>
      </c>
      <c r="C13" s="11" t="s">
        <v>40</v>
      </c>
      <c r="D13" s="11">
        <v>0.4</v>
      </c>
      <c r="E13" s="11">
        <v>0.45</v>
      </c>
      <c r="F13" s="11">
        <v>0.4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>
        <v>12.0</v>
      </c>
      <c r="B14" s="11" t="s">
        <v>41</v>
      </c>
      <c r="C14" s="11" t="s">
        <v>42</v>
      </c>
      <c r="D14" s="11">
        <v>0.5</v>
      </c>
      <c r="E14" s="11">
        <v>0.5</v>
      </c>
      <c r="F14" s="11">
        <v>0.45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>
        <v>13.0</v>
      </c>
      <c r="B15" s="11" t="s">
        <v>45</v>
      </c>
      <c r="C15" s="11" t="s">
        <v>46</v>
      </c>
      <c r="D15" s="11">
        <v>0.4</v>
      </c>
      <c r="E15" s="11">
        <v>0.4</v>
      </c>
      <c r="F15" s="11">
        <v>0.35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14.0</v>
      </c>
      <c r="B16" s="11" t="s">
        <v>49</v>
      </c>
      <c r="C16" s="11" t="s">
        <v>50</v>
      </c>
      <c r="D16" s="11">
        <v>0.35</v>
      </c>
      <c r="E16" s="11">
        <v>0.4</v>
      </c>
      <c r="F16" s="11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4.0"/>
    <col customWidth="1" min="3" max="3" width="24.0"/>
    <col customWidth="1" min="4" max="4" width="16.0"/>
    <col customWidth="1" min="5" max="26" width="8.71"/>
  </cols>
  <sheetData>
    <row r="1" ht="15.0" customHeight="1">
      <c r="A1" s="2" t="s">
        <v>0</v>
      </c>
      <c r="B1" s="6"/>
      <c r="C1" s="6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4</v>
      </c>
      <c r="B2" s="10" t="s">
        <v>5</v>
      </c>
      <c r="C2" s="10" t="s">
        <v>6</v>
      </c>
      <c r="D2" s="10" t="s">
        <v>28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>
        <v>1.0</v>
      </c>
      <c r="B3" s="11" t="s">
        <v>7</v>
      </c>
      <c r="C3" s="11" t="s">
        <v>8</v>
      </c>
      <c r="D3" s="11">
        <v>0.5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>
        <v>2.0</v>
      </c>
      <c r="B4" s="11" t="s">
        <v>10</v>
      </c>
      <c r="C4" s="11" t="s">
        <v>11</v>
      </c>
      <c r="D4" s="11">
        <v>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>
        <v>3.0</v>
      </c>
      <c r="B5" s="11" t="s">
        <v>14</v>
      </c>
      <c r="C5" s="11" t="s">
        <v>15</v>
      </c>
      <c r="D5" s="11">
        <v>0.5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>
        <v>4.0</v>
      </c>
      <c r="B6" s="11" t="s">
        <v>17</v>
      </c>
      <c r="C6" s="11" t="s">
        <v>18</v>
      </c>
      <c r="D6" s="11">
        <v>1.0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>
        <v>5.0</v>
      </c>
      <c r="B7" s="11" t="s">
        <v>20</v>
      </c>
      <c r="C7" s="11" t="s">
        <v>22</v>
      </c>
      <c r="D7" s="11">
        <v>0.75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6.0</v>
      </c>
      <c r="B8" s="11" t="s">
        <v>23</v>
      </c>
      <c r="C8" s="11" t="s">
        <v>25</v>
      </c>
      <c r="D8" s="11">
        <v>1.2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>
        <v>7.0</v>
      </c>
      <c r="B9" s="11" t="s">
        <v>26</v>
      </c>
      <c r="C9" s="11" t="s">
        <v>27</v>
      </c>
      <c r="D9" s="11">
        <v>1.0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8.0</v>
      </c>
      <c r="B10" s="11" t="s">
        <v>29</v>
      </c>
      <c r="C10" s="11" t="s">
        <v>30</v>
      </c>
      <c r="D10" s="11">
        <v>0.0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9.0</v>
      </c>
      <c r="B11" s="11" t="s">
        <v>31</v>
      </c>
      <c r="C11" s="11" t="s">
        <v>32</v>
      </c>
      <c r="D11" s="11">
        <v>0.75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>
        <v>10.0</v>
      </c>
      <c r="B12" s="11" t="s">
        <v>35</v>
      </c>
      <c r="C12" s="11" t="s">
        <v>37</v>
      </c>
      <c r="D12" s="11">
        <v>0.3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>
        <v>11.0</v>
      </c>
      <c r="B13" s="11" t="s">
        <v>39</v>
      </c>
      <c r="C13" s="11" t="s">
        <v>40</v>
      </c>
      <c r="D13" s="11">
        <v>0.3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>
        <v>12.0</v>
      </c>
      <c r="B14" s="11" t="s">
        <v>41</v>
      </c>
      <c r="C14" s="11" t="s">
        <v>42</v>
      </c>
      <c r="D14" s="11">
        <v>1.5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>
        <v>13.0</v>
      </c>
      <c r="B15" s="11" t="s">
        <v>45</v>
      </c>
      <c r="C15" s="11" t="s">
        <v>46</v>
      </c>
      <c r="D15" s="11">
        <v>1.35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14.0</v>
      </c>
      <c r="B16" s="11" t="s">
        <v>49</v>
      </c>
      <c r="C16" s="11" t="s">
        <v>50</v>
      </c>
      <c r="D16" s="11">
        <v>0.85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4.0"/>
    <col customWidth="1" min="4" max="4" width="16.0"/>
    <col customWidth="1" min="5" max="26" width="8.71"/>
  </cols>
  <sheetData>
    <row r="1" ht="14.25" customHeight="1">
      <c r="A1" s="3" t="s">
        <v>3</v>
      </c>
      <c r="B1" s="5"/>
      <c r="C1" s="5"/>
      <c r="D1" s="7"/>
    </row>
    <row r="2" ht="14.25" customHeight="1">
      <c r="A2" s="10" t="s">
        <v>4</v>
      </c>
      <c r="B2" s="10" t="s">
        <v>5</v>
      </c>
      <c r="C2" s="10" t="s">
        <v>6</v>
      </c>
      <c r="D2" s="10" t="s">
        <v>3</v>
      </c>
    </row>
    <row r="3" ht="14.25" customHeight="1">
      <c r="A3" s="11">
        <v>1.0</v>
      </c>
      <c r="B3" s="11" t="s">
        <v>7</v>
      </c>
      <c r="C3" s="11" t="s">
        <v>8</v>
      </c>
      <c r="D3" s="11">
        <v>4.2</v>
      </c>
    </row>
    <row r="4" ht="14.25" customHeight="1">
      <c r="A4" s="11">
        <v>2.0</v>
      </c>
      <c r="B4" s="11" t="s">
        <v>10</v>
      </c>
      <c r="C4" s="11" t="s">
        <v>11</v>
      </c>
      <c r="D4" s="11">
        <v>5.8</v>
      </c>
    </row>
    <row r="5" ht="14.25" customHeight="1">
      <c r="A5" s="11">
        <v>3.0</v>
      </c>
      <c r="B5" s="11" t="s">
        <v>14</v>
      </c>
      <c r="C5" s="11" t="s">
        <v>15</v>
      </c>
      <c r="D5" s="11">
        <v>5.8</v>
      </c>
    </row>
    <row r="6" ht="14.25" customHeight="1">
      <c r="A6" s="11">
        <v>4.0</v>
      </c>
      <c r="B6" s="11" t="s">
        <v>17</v>
      </c>
      <c r="C6" s="11" t="s">
        <v>18</v>
      </c>
      <c r="D6" s="11">
        <v>4.5</v>
      </c>
    </row>
    <row r="7" ht="14.25" customHeight="1">
      <c r="A7" s="11">
        <v>5.0</v>
      </c>
      <c r="B7" s="11" t="s">
        <v>20</v>
      </c>
      <c r="C7" s="11" t="s">
        <v>22</v>
      </c>
      <c r="D7" s="11">
        <v>5.5</v>
      </c>
    </row>
    <row r="8" ht="14.25" customHeight="1">
      <c r="A8" s="11">
        <v>6.0</v>
      </c>
      <c r="B8" s="11" t="s">
        <v>23</v>
      </c>
      <c r="C8" s="11" t="s">
        <v>25</v>
      </c>
      <c r="D8" s="11">
        <v>7.5</v>
      </c>
    </row>
    <row r="9" ht="14.25" customHeight="1">
      <c r="A9" s="11">
        <v>7.0</v>
      </c>
      <c r="B9" s="11" t="s">
        <v>26</v>
      </c>
      <c r="C9" s="11" t="s">
        <v>27</v>
      </c>
      <c r="D9" s="11">
        <v>5.3</v>
      </c>
    </row>
    <row r="10" ht="14.25" customHeight="1">
      <c r="A10" s="11">
        <v>8.0</v>
      </c>
      <c r="B10" s="11" t="s">
        <v>29</v>
      </c>
      <c r="C10" s="11" t="s">
        <v>30</v>
      </c>
      <c r="D10" s="11">
        <v>6.8</v>
      </c>
    </row>
    <row r="11" ht="14.25" customHeight="1">
      <c r="A11" s="11">
        <v>9.0</v>
      </c>
      <c r="B11" s="11" t="s">
        <v>31</v>
      </c>
      <c r="C11" s="11" t="s">
        <v>32</v>
      </c>
      <c r="D11" s="11">
        <v>6.3</v>
      </c>
    </row>
    <row r="12" ht="14.25" customHeight="1">
      <c r="A12" s="11">
        <v>10.0</v>
      </c>
      <c r="B12" s="11" t="s">
        <v>35</v>
      </c>
      <c r="C12" s="11" t="s">
        <v>37</v>
      </c>
      <c r="D12" s="11">
        <v>8.3</v>
      </c>
    </row>
    <row r="13" ht="14.25" customHeight="1">
      <c r="A13" s="11">
        <v>11.0</v>
      </c>
      <c r="B13" s="11" t="s">
        <v>39</v>
      </c>
      <c r="C13" s="11" t="s">
        <v>40</v>
      </c>
      <c r="D13" s="11">
        <v>-3.0</v>
      </c>
    </row>
    <row r="14" ht="14.25" customHeight="1">
      <c r="A14" s="11">
        <v>12.0</v>
      </c>
      <c r="B14" s="11" t="s">
        <v>41</v>
      </c>
      <c r="C14" s="11" t="s">
        <v>42</v>
      </c>
      <c r="D14" s="11">
        <v>7.0</v>
      </c>
    </row>
    <row r="15" ht="14.25" customHeight="1">
      <c r="A15" s="11">
        <v>13.0</v>
      </c>
      <c r="B15" s="11" t="s">
        <v>45</v>
      </c>
      <c r="C15" s="11" t="s">
        <v>46</v>
      </c>
      <c r="D15" s="11">
        <v>-3.0</v>
      </c>
    </row>
    <row r="16" ht="14.25" customHeight="1">
      <c r="A16" s="11">
        <v>14.0</v>
      </c>
      <c r="B16" s="11" t="s">
        <v>49</v>
      </c>
      <c r="C16" s="11" t="s">
        <v>50</v>
      </c>
      <c r="D16" s="11">
        <v>6.5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57"/>
    <col customWidth="1" min="2" max="2" width="11.14"/>
    <col customWidth="1" min="3" max="3" width="23.0"/>
    <col customWidth="1" min="4" max="4" width="4.0"/>
    <col customWidth="1" min="5" max="5" width="14.86"/>
    <col customWidth="1" min="6" max="6" width="19.57"/>
    <col customWidth="1" min="7" max="26" width="8.71"/>
  </cols>
  <sheetData>
    <row r="1" ht="14.25" customHeight="1">
      <c r="A1" s="20" t="s">
        <v>61</v>
      </c>
      <c r="B1" s="6"/>
      <c r="C1" s="9"/>
      <c r="D1" s="1"/>
      <c r="E1" s="21" t="s">
        <v>62</v>
      </c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55</v>
      </c>
      <c r="B2" s="10" t="s">
        <v>56</v>
      </c>
      <c r="C2" s="10" t="s">
        <v>63</v>
      </c>
      <c r="D2" s="1"/>
      <c r="E2" s="23" t="s">
        <v>64</v>
      </c>
      <c r="F2" s="23" t="s">
        <v>65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>
        <v>0.0</v>
      </c>
      <c r="B3" s="11" t="s">
        <v>66</v>
      </c>
      <c r="C3" s="11">
        <v>0.0</v>
      </c>
      <c r="D3" s="1"/>
      <c r="E3" s="24">
        <v>0.0</v>
      </c>
      <c r="F3" s="24">
        <v>1.0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>
        <v>4.0</v>
      </c>
      <c r="B4" s="11" t="s">
        <v>67</v>
      </c>
      <c r="C4" s="11">
        <v>1.0</v>
      </c>
      <c r="D4" s="1"/>
      <c r="E4" s="24">
        <v>1.0</v>
      </c>
      <c r="F4" s="24">
        <v>0.5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>
        <v>5.0</v>
      </c>
      <c r="B5" s="11" t="s">
        <v>68</v>
      </c>
      <c r="C5" s="11">
        <v>1.5</v>
      </c>
      <c r="D5" s="1"/>
      <c r="E5" s="24">
        <v>2.0</v>
      </c>
      <c r="F5" s="24">
        <v>0.25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>
        <v>5.5</v>
      </c>
      <c r="B6" s="11" t="s">
        <v>69</v>
      </c>
      <c r="C6" s="11">
        <v>2.0</v>
      </c>
      <c r="D6" s="1"/>
      <c r="E6" s="25"/>
      <c r="F6" s="2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>
        <v>6.5</v>
      </c>
      <c r="B7" s="11" t="s">
        <v>70</v>
      </c>
      <c r="C7" s="11">
        <v>2.5</v>
      </c>
      <c r="D7" s="1"/>
      <c r="E7" s="25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7.0</v>
      </c>
      <c r="B8" s="11" t="s">
        <v>71</v>
      </c>
      <c r="C8" s="11">
        <v>3.0</v>
      </c>
      <c r="D8" s="1"/>
      <c r="E8" s="25"/>
      <c r="F8" s="2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>
        <v>8.0</v>
      </c>
      <c r="B9" s="11" t="s">
        <v>72</v>
      </c>
      <c r="C9" s="11">
        <v>3.5</v>
      </c>
      <c r="D9" s="1"/>
      <c r="E9" s="25"/>
      <c r="F9" s="2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9.0</v>
      </c>
      <c r="B10" s="11" t="s">
        <v>73</v>
      </c>
      <c r="C10" s="11">
        <v>4.0</v>
      </c>
      <c r="D10" s="1"/>
      <c r="E10" s="25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21" t="s">
        <v>75</v>
      </c>
      <c r="B12" s="26"/>
      <c r="C12" s="22"/>
      <c r="D12" s="25"/>
      <c r="E12" s="21" t="s">
        <v>76</v>
      </c>
      <c r="F12" s="2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 t="s">
        <v>4</v>
      </c>
      <c r="B13" s="23" t="s">
        <v>5</v>
      </c>
      <c r="C13" s="27" t="s">
        <v>51</v>
      </c>
      <c r="D13" s="25"/>
      <c r="E13" s="23" t="s">
        <v>56</v>
      </c>
      <c r="F13" s="23" t="s">
        <v>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>
        <v>1.0</v>
      </c>
      <c r="B14" s="24" t="s">
        <v>7</v>
      </c>
      <c r="C14" s="24" t="s">
        <v>8</v>
      </c>
      <c r="D14" s="25"/>
      <c r="E14" s="24" t="s">
        <v>73</v>
      </c>
      <c r="F14" s="17">
        <f>COUNTIF('Tong hop diem'!$K$7:$K$20,E14)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4">
        <v>2.0</v>
      </c>
      <c r="B15" s="24" t="s">
        <v>10</v>
      </c>
      <c r="C15" s="24" t="s">
        <v>11</v>
      </c>
      <c r="D15" s="25"/>
      <c r="E15" s="24" t="s">
        <v>72</v>
      </c>
      <c r="F15" s="17">
        <f>COUNTIF('Tong hop diem'!$K$7:$K$20,E15)</f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4">
        <v>3.0</v>
      </c>
      <c r="B16" s="24" t="s">
        <v>14</v>
      </c>
      <c r="C16" s="24" t="s">
        <v>15</v>
      </c>
      <c r="D16" s="25"/>
      <c r="E16" s="24" t="s">
        <v>71</v>
      </c>
      <c r="F16" s="17">
        <f>COUNTIF('Tong hop diem'!$K$7:$K$20,E16)</f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4">
        <v>4.0</v>
      </c>
      <c r="B17" s="24" t="s">
        <v>17</v>
      </c>
      <c r="C17" s="24" t="s">
        <v>18</v>
      </c>
      <c r="D17" s="25"/>
      <c r="E17" s="24" t="s">
        <v>70</v>
      </c>
      <c r="F17" s="17">
        <f>COUNTIF('Tong hop diem'!$K$7:$K$20,E17)</f>
        <v>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4">
        <v>5.0</v>
      </c>
      <c r="B18" s="24" t="s">
        <v>20</v>
      </c>
      <c r="C18" s="24" t="s">
        <v>22</v>
      </c>
      <c r="D18" s="25"/>
      <c r="E18" s="24" t="s">
        <v>69</v>
      </c>
      <c r="F18" s="17">
        <f>COUNTIF('Tong hop diem'!$K$7:$K$20,E18)</f>
        <v>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4">
        <v>6.0</v>
      </c>
      <c r="B19" s="24" t="s">
        <v>23</v>
      </c>
      <c r="C19" s="24" t="s">
        <v>25</v>
      </c>
      <c r="D19" s="25"/>
      <c r="E19" s="24" t="s">
        <v>68</v>
      </c>
      <c r="F19" s="17">
        <f>COUNTIF('Tong hop diem'!$K$7:$K$20,E19)</f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4">
        <v>7.0</v>
      </c>
      <c r="B20" s="24" t="s">
        <v>26</v>
      </c>
      <c r="C20" s="24" t="s">
        <v>27</v>
      </c>
      <c r="D20" s="25"/>
      <c r="E20" s="24" t="s">
        <v>67</v>
      </c>
      <c r="F20" s="17">
        <f>COUNTIF('Tong hop diem'!$K$7:$K$20,E20)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4">
        <v>8.0</v>
      </c>
      <c r="B21" s="24" t="s">
        <v>29</v>
      </c>
      <c r="C21" s="24" t="s">
        <v>30</v>
      </c>
      <c r="D21" s="25"/>
      <c r="E21" s="24" t="s">
        <v>66</v>
      </c>
      <c r="F21" s="17">
        <f>COUNTIF('Tong hop diem'!$K$7:$K$20,E21)</f>
        <v>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4">
        <v>9.0</v>
      </c>
      <c r="B22" s="24" t="s">
        <v>31</v>
      </c>
      <c r="C22" s="24" t="s">
        <v>32</v>
      </c>
      <c r="D22" s="25"/>
      <c r="E22" s="25"/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4">
        <v>10.0</v>
      </c>
      <c r="B23" s="24" t="s">
        <v>35</v>
      </c>
      <c r="C23" s="24" t="s">
        <v>37</v>
      </c>
      <c r="D23" s="25"/>
      <c r="E23" s="28" t="s">
        <v>79</v>
      </c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4">
        <v>11.0</v>
      </c>
      <c r="B24" s="24" t="s">
        <v>39</v>
      </c>
      <c r="C24" s="24" t="s">
        <v>40</v>
      </c>
      <c r="D24" s="25"/>
      <c r="E24" s="24" t="s">
        <v>80</v>
      </c>
      <c r="F24" s="17">
        <f>COUNTIF('Tong hop diem'!$G$7:$G$20,0)+COUNTIF('Tong hop diem'!$H$7:$H$20,-3)-COUNTIFS('Tong hop diem'!$G$7:$G$20,0,'Tong hop diem'!$H$7:$H$20,-3)</f>
        <v>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4">
        <v>12.0</v>
      </c>
      <c r="B25" s="24" t="s">
        <v>41</v>
      </c>
      <c r="C25" s="24" t="s">
        <v>42</v>
      </c>
      <c r="D25" s="25"/>
      <c r="E25" s="24" t="s">
        <v>81</v>
      </c>
      <c r="F25" s="24">
        <v>1.0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4">
        <v>13.0</v>
      </c>
      <c r="B26" s="24" t="s">
        <v>45</v>
      </c>
      <c r="C26" s="24" t="s">
        <v>46</v>
      </c>
      <c r="D26" s="25"/>
      <c r="E26" s="25"/>
      <c r="F26" s="2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4">
        <v>14.0</v>
      </c>
      <c r="B27" s="24" t="s">
        <v>49</v>
      </c>
      <c r="C27" s="24" t="s">
        <v>50</v>
      </c>
      <c r="D27" s="25"/>
      <c r="E27" s="25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C1"/>
    <mergeCell ref="E1:F1"/>
    <mergeCell ref="A12:C12"/>
    <mergeCell ref="E12:F12"/>
    <mergeCell ref="E23:F2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4.0"/>
    <col customWidth="1" min="4" max="6" width="12.0"/>
    <col customWidth="1" min="7" max="7" width="14.0"/>
    <col customWidth="1" min="8" max="9" width="12.0"/>
    <col customWidth="1" min="10" max="10" width="20.0"/>
    <col customWidth="1" min="11" max="11" width="12.0"/>
    <col customWidth="1" min="12" max="26" width="8.71"/>
  </cols>
  <sheetData>
    <row r="1" ht="14.25" customHeight="1">
      <c r="A1" s="29" t="s">
        <v>90</v>
      </c>
      <c r="B1" s="5"/>
      <c r="C1" s="5"/>
      <c r="D1" s="5"/>
      <c r="E1" s="5"/>
      <c r="F1" s="5"/>
      <c r="G1" s="5"/>
      <c r="H1" s="5"/>
      <c r="I1" s="5"/>
      <c r="J1" s="5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0" t="s">
        <v>4</v>
      </c>
      <c r="B2" s="30" t="s">
        <v>5</v>
      </c>
      <c r="C2" s="30" t="s">
        <v>51</v>
      </c>
      <c r="D2" s="30" t="s">
        <v>9</v>
      </c>
      <c r="E2" s="30" t="s">
        <v>12</v>
      </c>
      <c r="F2" s="30" t="s">
        <v>13</v>
      </c>
      <c r="G2" s="30" t="s">
        <v>52</v>
      </c>
      <c r="H2" s="30" t="s">
        <v>53</v>
      </c>
      <c r="I2" s="30" t="s">
        <v>54</v>
      </c>
      <c r="J2" s="30" t="s">
        <v>55</v>
      </c>
      <c r="K2" s="30" t="s">
        <v>56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7">
        <f>IFERROR(__xludf.DUMMYFUNCTION("FILTER('Tong hop diem'!A7:K20,'Tong hop diem'!J7:J20&lt;7)"),1.0)</f>
        <v>1</v>
      </c>
      <c r="B3" s="19" t="str">
        <f>IFERROR(__xludf.DUMMYFUNCTION("""COMPUTED_VALUE"""),"0B1505719")</f>
        <v>0B1505719</v>
      </c>
      <c r="C3" s="19" t="str">
        <f>IFERROR(__xludf.DUMMYFUNCTION("""COMPUTED_VALUE"""),"Nguyễn Văn Hiếu")</f>
        <v>Nguyễn Văn Hiếu</v>
      </c>
      <c r="D3" s="19">
        <f>IFERROR(__xludf.DUMMYFUNCTION("""COMPUTED_VALUE"""),0.45)</f>
        <v>0.45</v>
      </c>
      <c r="E3" s="19">
        <f>IFERROR(__xludf.DUMMYFUNCTION("""COMPUTED_VALUE"""),0.25)</f>
        <v>0.25</v>
      </c>
      <c r="F3" s="19">
        <f>IFERROR(__xludf.DUMMYFUNCTION("""COMPUTED_VALUE"""),0.3)</f>
        <v>0.3</v>
      </c>
      <c r="G3" s="19">
        <f>IFERROR(__xludf.DUMMYFUNCTION("""COMPUTED_VALUE"""),0.5)</f>
        <v>0.5</v>
      </c>
      <c r="H3" s="19">
        <f>IFERROR(__xludf.DUMMYFUNCTION("""COMPUTED_VALUE"""),4.2)</f>
        <v>4.2</v>
      </c>
      <c r="I3" s="31">
        <f>IFERROR(__xludf.DUMMYFUNCTION("""COMPUTED_VALUE"""),4.0)</f>
        <v>4</v>
      </c>
      <c r="J3" s="31">
        <f>IFERROR(__xludf.DUMMYFUNCTION("""COMPUTED_VALUE"""),5.0)</f>
        <v>5</v>
      </c>
      <c r="K3" s="19" t="str">
        <f>IFERROR(__xludf.DUMMYFUNCTION("""COMPUTED_VALUE"""),"D+")</f>
        <v>D+</v>
      </c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>
        <f>IFERROR(__xludf.DUMMYFUNCTION("""COMPUTED_VALUE"""),2.0)</f>
        <v>2</v>
      </c>
      <c r="B4" s="19" t="str">
        <f>IFERROR(__xludf.DUMMYFUNCTION("""COMPUTED_VALUE"""),"1B1505915")</f>
        <v>1B1505915</v>
      </c>
      <c r="C4" s="19" t="str">
        <f>IFERROR(__xludf.DUMMYFUNCTION("""COMPUTED_VALUE"""),"Lý Minh Trí")</f>
        <v>Lý Minh Trí</v>
      </c>
      <c r="D4" s="19">
        <f>IFERROR(__xludf.DUMMYFUNCTION("""COMPUTED_VALUE"""),0.5)</f>
        <v>0.5</v>
      </c>
      <c r="E4" s="19">
        <f>IFERROR(__xludf.DUMMYFUNCTION("""COMPUTED_VALUE"""),0.35)</f>
        <v>0.35</v>
      </c>
      <c r="F4" s="19">
        <f>IFERROR(__xludf.DUMMYFUNCTION("""COMPUTED_VALUE"""),0.4)</f>
        <v>0.4</v>
      </c>
      <c r="G4" s="19">
        <f>IFERROR(__xludf.DUMMYFUNCTION("""COMPUTED_VALUE"""),1.0)</f>
        <v>1</v>
      </c>
      <c r="H4" s="19">
        <f>IFERROR(__xludf.DUMMYFUNCTION("""COMPUTED_VALUE"""),5.8)</f>
        <v>5.8</v>
      </c>
      <c r="I4" s="31">
        <f>IFERROR(__xludf.DUMMYFUNCTION("""COMPUTED_VALUE"""),5.7)</f>
        <v>5.7</v>
      </c>
      <c r="J4" s="31">
        <f>IFERROR(__xludf.DUMMYFUNCTION("""COMPUTED_VALUE"""),6.2)</f>
        <v>6.2</v>
      </c>
      <c r="K4" s="19" t="str">
        <f>IFERROR(__xludf.DUMMYFUNCTION("""COMPUTED_VALUE"""),"C")</f>
        <v>C</v>
      </c>
      <c r="L4" s="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>
        <f>IFERROR(__xludf.DUMMYFUNCTION("""COMPUTED_VALUE"""),3.0)</f>
        <v>3</v>
      </c>
      <c r="B5" s="19" t="str">
        <f>IFERROR(__xludf.DUMMYFUNCTION("""COMPUTED_VALUE"""),"0B1509874")</f>
        <v>0B1509874</v>
      </c>
      <c r="C5" s="19" t="str">
        <f>IFERROR(__xludf.DUMMYFUNCTION("""COMPUTED_VALUE"""),"Nguyễn Kiều Mi")</f>
        <v>Nguyễn Kiều Mi</v>
      </c>
      <c r="D5" s="19">
        <f>IFERROR(__xludf.DUMMYFUNCTION("""COMPUTED_VALUE"""),0.25)</f>
        <v>0.25</v>
      </c>
      <c r="E5" s="19">
        <f>IFERROR(__xludf.DUMMYFUNCTION("""COMPUTED_VALUE"""),0.25)</f>
        <v>0.25</v>
      </c>
      <c r="F5" s="19">
        <f>IFERROR(__xludf.DUMMYFUNCTION("""COMPUTED_VALUE"""),0.3)</f>
        <v>0.3</v>
      </c>
      <c r="G5" s="19">
        <f>IFERROR(__xludf.DUMMYFUNCTION("""COMPUTED_VALUE"""),0.5)</f>
        <v>0.5</v>
      </c>
      <c r="H5" s="19">
        <f>IFERROR(__xludf.DUMMYFUNCTION("""COMPUTED_VALUE"""),5.8)</f>
        <v>5.8</v>
      </c>
      <c r="I5" s="31">
        <f>IFERROR(__xludf.DUMMYFUNCTION("""COMPUTED_VALUE"""),4.8)</f>
        <v>4.8</v>
      </c>
      <c r="J5" s="31">
        <f>IFERROR(__xludf.DUMMYFUNCTION("""COMPUTED_VALUE"""),5.8)</f>
        <v>5.8</v>
      </c>
      <c r="K5" s="19" t="str">
        <f>IFERROR(__xludf.DUMMYFUNCTION("""COMPUTED_VALUE"""),"C")</f>
        <v>C</v>
      </c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9">
        <f>IFERROR(__xludf.DUMMYFUNCTION("""COMPUTED_VALUE"""),4.0)</f>
        <v>4</v>
      </c>
      <c r="B6" s="19" t="str">
        <f>IFERROR(__xludf.DUMMYFUNCTION("""COMPUTED_VALUE"""),"0B1509929")</f>
        <v>0B1509929</v>
      </c>
      <c r="C6" s="19" t="str">
        <f>IFERROR(__xludf.DUMMYFUNCTION("""COMPUTED_VALUE"""),"Đặng Duy Linh")</f>
        <v>Đặng Duy Linh</v>
      </c>
      <c r="D6" s="19">
        <f>IFERROR(__xludf.DUMMYFUNCTION("""COMPUTED_VALUE"""),0.4)</f>
        <v>0.4</v>
      </c>
      <c r="E6" s="19">
        <f>IFERROR(__xludf.DUMMYFUNCTION("""COMPUTED_VALUE"""),0.25)</f>
        <v>0.25</v>
      </c>
      <c r="F6" s="19">
        <f>IFERROR(__xludf.DUMMYFUNCTION("""COMPUTED_VALUE"""),0.35)</f>
        <v>0.35</v>
      </c>
      <c r="G6" s="19">
        <f>IFERROR(__xludf.DUMMYFUNCTION("""COMPUTED_VALUE"""),1.0)</f>
        <v>1</v>
      </c>
      <c r="H6" s="19">
        <f>IFERROR(__xludf.DUMMYFUNCTION("""COMPUTED_VALUE"""),4.5)</f>
        <v>4.5</v>
      </c>
      <c r="I6" s="31">
        <f>IFERROR(__xludf.DUMMYFUNCTION("""COMPUTED_VALUE"""),4.7)</f>
        <v>4.7</v>
      </c>
      <c r="J6" s="31">
        <f>IFERROR(__xludf.DUMMYFUNCTION("""COMPUTED_VALUE"""),5.7)</f>
        <v>5.7</v>
      </c>
      <c r="K6" s="19" t="str">
        <f>IFERROR(__xludf.DUMMYFUNCTION("""COMPUTED_VALUE"""),"C")</f>
        <v>C</v>
      </c>
      <c r="L6" s="1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9">
        <f>IFERROR(__xludf.DUMMYFUNCTION("""COMPUTED_VALUE"""),5.0)</f>
        <v>5</v>
      </c>
      <c r="B7" s="19" t="str">
        <f>IFERROR(__xludf.DUMMYFUNCTION("""COMPUTED_VALUE"""),"2B1605223")</f>
        <v>2B1605223</v>
      </c>
      <c r="C7" s="19" t="str">
        <f>IFERROR(__xludf.DUMMYFUNCTION("""COMPUTED_VALUE"""),"Lê Thị Trúc Linh")</f>
        <v>Lê Thị Trúc Linh</v>
      </c>
      <c r="D7" s="19">
        <f>IFERROR(__xludf.DUMMYFUNCTION("""COMPUTED_VALUE"""),0.45)</f>
        <v>0.45</v>
      </c>
      <c r="E7" s="19">
        <f>IFERROR(__xludf.DUMMYFUNCTION("""COMPUTED_VALUE"""),0.4)</f>
        <v>0.4</v>
      </c>
      <c r="F7" s="19">
        <f>IFERROR(__xludf.DUMMYFUNCTION("""COMPUTED_VALUE"""),0.35)</f>
        <v>0.35</v>
      </c>
      <c r="G7" s="19">
        <f>IFERROR(__xludf.DUMMYFUNCTION("""COMPUTED_VALUE"""),0.75)</f>
        <v>0.75</v>
      </c>
      <c r="H7" s="19">
        <f>IFERROR(__xludf.DUMMYFUNCTION("""COMPUTED_VALUE"""),5.5)</f>
        <v>5.5</v>
      </c>
      <c r="I7" s="31">
        <f>IFERROR(__xludf.DUMMYFUNCTION("""COMPUTED_VALUE"""),5.3)</f>
        <v>5.3</v>
      </c>
      <c r="J7" s="31">
        <f>IFERROR(__xludf.DUMMYFUNCTION("""COMPUTED_VALUE"""),5.6)</f>
        <v>5.6</v>
      </c>
      <c r="K7" s="19" t="str">
        <f>IFERROR(__xludf.DUMMYFUNCTION("""COMPUTED_VALUE"""),"C")</f>
        <v>C</v>
      </c>
      <c r="L7" s="1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">
        <f>IFERROR(__xludf.DUMMYFUNCTION("""COMPUTED_VALUE"""),7.0)</f>
        <v>7</v>
      </c>
      <c r="B8" s="19" t="str">
        <f>IFERROR(__xludf.DUMMYFUNCTION("""COMPUTED_VALUE"""),"0B1605249")</f>
        <v>0B1605249</v>
      </c>
      <c r="C8" s="19" t="str">
        <f>IFERROR(__xludf.DUMMYFUNCTION("""COMPUTED_VALUE"""),"Lê Minh Thông")</f>
        <v>Lê Minh Thông</v>
      </c>
      <c r="D8" s="19">
        <f>IFERROR(__xludf.DUMMYFUNCTION("""COMPUTED_VALUE"""),0.4)</f>
        <v>0.4</v>
      </c>
      <c r="E8" s="19">
        <f>IFERROR(__xludf.DUMMYFUNCTION("""COMPUTED_VALUE"""),0.4)</f>
        <v>0.4</v>
      </c>
      <c r="F8" s="19">
        <f>IFERROR(__xludf.DUMMYFUNCTION("""COMPUTED_VALUE"""),0.4)</f>
        <v>0.4</v>
      </c>
      <c r="G8" s="19">
        <f>IFERROR(__xludf.DUMMYFUNCTION("""COMPUTED_VALUE"""),1.0)</f>
        <v>1</v>
      </c>
      <c r="H8" s="19">
        <f>IFERROR(__xludf.DUMMYFUNCTION("""COMPUTED_VALUE"""),5.3)</f>
        <v>5.3</v>
      </c>
      <c r="I8" s="31">
        <f>IFERROR(__xludf.DUMMYFUNCTION("""COMPUTED_VALUE"""),5.4)</f>
        <v>5.4</v>
      </c>
      <c r="J8" s="31">
        <f>IFERROR(__xludf.DUMMYFUNCTION("""COMPUTED_VALUE"""),6.4)</f>
        <v>6.4</v>
      </c>
      <c r="K8" s="19" t="str">
        <f>IFERROR(__xludf.DUMMYFUNCTION("""COMPUTED_VALUE"""),"C")</f>
        <v>C</v>
      </c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>
        <f>IFERROR(__xludf.DUMMYFUNCTION("""COMPUTED_VALUE"""),8.0)</f>
        <v>8</v>
      </c>
      <c r="B9" s="19" t="str">
        <f>IFERROR(__xludf.DUMMYFUNCTION("""COMPUTED_VALUE"""),"0B1605285")</f>
        <v>0B1605285</v>
      </c>
      <c r="C9" s="19" t="str">
        <f>IFERROR(__xludf.DUMMYFUNCTION("""COMPUTED_VALUE"""),"Huỳnh Thị Diễm")</f>
        <v>Huỳnh Thị Diễm</v>
      </c>
      <c r="D9" s="19">
        <f>IFERROR(__xludf.DUMMYFUNCTION("""COMPUTED_VALUE"""),0.45)</f>
        <v>0.45</v>
      </c>
      <c r="E9" s="19">
        <f>IFERROR(__xludf.DUMMYFUNCTION("""COMPUTED_VALUE"""),0.4)</f>
        <v>0.4</v>
      </c>
      <c r="F9" s="19">
        <f>IFERROR(__xludf.DUMMYFUNCTION("""COMPUTED_VALUE"""),0.45)</f>
        <v>0.45</v>
      </c>
      <c r="G9" s="19">
        <f>IFERROR(__xludf.DUMMYFUNCTION("""COMPUTED_VALUE"""),0.0)</f>
        <v>0</v>
      </c>
      <c r="H9" s="19">
        <f>IFERROR(__xludf.DUMMYFUNCTION("""COMPUTED_VALUE"""),6.8)</f>
        <v>6.8</v>
      </c>
      <c r="I9" s="31">
        <f>IFERROR(__xludf.DUMMYFUNCTION("""COMPUTED_VALUE"""),5.4)</f>
        <v>5.4</v>
      </c>
      <c r="J9" s="31">
        <f>IFERROR(__xludf.DUMMYFUNCTION("""COMPUTED_VALUE"""),0.0)</f>
        <v>0</v>
      </c>
      <c r="K9" s="19" t="str">
        <f>IFERROR(__xludf.DUMMYFUNCTION("""COMPUTED_VALUE"""),"F")</f>
        <v>F</v>
      </c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">
        <f>IFERROR(__xludf.DUMMYFUNCTION("""COMPUTED_VALUE"""),9.0)</f>
        <v>9</v>
      </c>
      <c r="B10" s="19" t="str">
        <f>IFERROR(__xludf.DUMMYFUNCTION("""COMPUTED_VALUE"""),"0B1605291")</f>
        <v>0B1605291</v>
      </c>
      <c r="C10" s="19" t="str">
        <f>IFERROR(__xludf.DUMMYFUNCTION("""COMPUTED_VALUE"""),"Trần Thanh Nguyên")</f>
        <v>Trần Thanh Nguyên</v>
      </c>
      <c r="D10" s="19">
        <f>IFERROR(__xludf.DUMMYFUNCTION("""COMPUTED_VALUE"""),0.45)</f>
        <v>0.45</v>
      </c>
      <c r="E10" s="19">
        <f>IFERROR(__xludf.DUMMYFUNCTION("""COMPUTED_VALUE"""),0.4)</f>
        <v>0.4</v>
      </c>
      <c r="F10" s="19">
        <f>IFERROR(__xludf.DUMMYFUNCTION("""COMPUTED_VALUE"""),0.4)</f>
        <v>0.4</v>
      </c>
      <c r="G10" s="19">
        <f>IFERROR(__xludf.DUMMYFUNCTION("""COMPUTED_VALUE"""),0.75)</f>
        <v>0.75</v>
      </c>
      <c r="H10" s="19">
        <f>IFERROR(__xludf.DUMMYFUNCTION("""COMPUTED_VALUE"""),6.3)</f>
        <v>6.3</v>
      </c>
      <c r="I10" s="31">
        <f>IFERROR(__xludf.DUMMYFUNCTION("""COMPUTED_VALUE"""),5.8)</f>
        <v>5.8</v>
      </c>
      <c r="J10" s="31">
        <f>IFERROR(__xludf.DUMMYFUNCTION("""COMPUTED_VALUE"""),6.8)</f>
        <v>6.8</v>
      </c>
      <c r="K10" s="19" t="str">
        <f>IFERROR(__xludf.DUMMYFUNCTION("""COMPUTED_VALUE"""),"C+")</f>
        <v>C+</v>
      </c>
      <c r="L10" s="1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>
        <f>IFERROR(__xludf.DUMMYFUNCTION("""COMPUTED_VALUE"""),11.0)</f>
        <v>11</v>
      </c>
      <c r="B11" s="19" t="str">
        <f>IFERROR(__xludf.DUMMYFUNCTION("""COMPUTED_VALUE"""),"4B1607025")</f>
        <v>4B1607025</v>
      </c>
      <c r="C11" s="19" t="str">
        <f>IFERROR(__xludf.DUMMYFUNCTION("""COMPUTED_VALUE"""),"Nguyễn Chí Thanh")</f>
        <v>Nguyễn Chí Thanh</v>
      </c>
      <c r="D11" s="19">
        <f>IFERROR(__xludf.DUMMYFUNCTION("""COMPUTED_VALUE"""),0.4)</f>
        <v>0.4</v>
      </c>
      <c r="E11" s="19">
        <f>IFERROR(__xludf.DUMMYFUNCTION("""COMPUTED_VALUE"""),0.45)</f>
        <v>0.45</v>
      </c>
      <c r="F11" s="19">
        <f>IFERROR(__xludf.DUMMYFUNCTION("""COMPUTED_VALUE"""),0.4)</f>
        <v>0.4</v>
      </c>
      <c r="G11" s="19">
        <f>IFERROR(__xludf.DUMMYFUNCTION("""COMPUTED_VALUE"""),0.3)</f>
        <v>0.3</v>
      </c>
      <c r="H11" s="19">
        <f>IFERROR(__xludf.DUMMYFUNCTION("""COMPUTED_VALUE"""),-3.0)</f>
        <v>-3</v>
      </c>
      <c r="I11" s="31">
        <f>IFERROR(__xludf.DUMMYFUNCTION("""COMPUTED_VALUE"""),-0.3)</f>
        <v>-0.3</v>
      </c>
      <c r="J11" s="31">
        <f>IFERROR(__xludf.DUMMYFUNCTION("""COMPUTED_VALUE"""),0.0)</f>
        <v>0</v>
      </c>
      <c r="K11" s="19" t="str">
        <f>IFERROR(__xludf.DUMMYFUNCTION("""COMPUTED_VALUE"""),"F")</f>
        <v>F</v>
      </c>
      <c r="L11" s="1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9">
        <f>IFERROR(__xludf.DUMMYFUNCTION("""COMPUTED_VALUE"""),13.0)</f>
        <v>13</v>
      </c>
      <c r="B12" s="19" t="str">
        <f>IFERROR(__xludf.DUMMYFUNCTION("""COMPUTED_VALUE"""),"5B1609765")</f>
        <v>5B1609765</v>
      </c>
      <c r="C12" s="19" t="str">
        <f>IFERROR(__xludf.DUMMYFUNCTION("""COMPUTED_VALUE"""),"Trần Nam Dương")</f>
        <v>Trần Nam Dương</v>
      </c>
      <c r="D12" s="19">
        <f>IFERROR(__xludf.DUMMYFUNCTION("""COMPUTED_VALUE"""),0.4)</f>
        <v>0.4</v>
      </c>
      <c r="E12" s="19">
        <f>IFERROR(__xludf.DUMMYFUNCTION("""COMPUTED_VALUE"""),0.4)</f>
        <v>0.4</v>
      </c>
      <c r="F12" s="19">
        <f>IFERROR(__xludf.DUMMYFUNCTION("""COMPUTED_VALUE"""),0.35)</f>
        <v>0.35</v>
      </c>
      <c r="G12" s="19">
        <f>IFERROR(__xludf.DUMMYFUNCTION("""COMPUTED_VALUE"""),1.35)</f>
        <v>1.35</v>
      </c>
      <c r="H12" s="19">
        <f>IFERROR(__xludf.DUMMYFUNCTION("""COMPUTED_VALUE"""),-3.0)</f>
        <v>-3</v>
      </c>
      <c r="I12" s="31">
        <f>IFERROR(__xludf.DUMMYFUNCTION("""COMPUTED_VALUE"""),0.7)</f>
        <v>0.7</v>
      </c>
      <c r="J12" s="31">
        <f>IFERROR(__xludf.DUMMYFUNCTION("""COMPUTED_VALUE"""),0.0)</f>
        <v>0</v>
      </c>
      <c r="K12" s="19" t="str">
        <f>IFERROR(__xludf.DUMMYFUNCTION("""COMPUTED_VALUE"""),"F")</f>
        <v>F</v>
      </c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9">
        <f>IFERROR(__xludf.DUMMYFUNCTION("""COMPUTED_VALUE"""),14.0)</f>
        <v>14</v>
      </c>
      <c r="B13" s="19" t="str">
        <f>IFERROR(__xludf.DUMMYFUNCTION("""COMPUTED_VALUE"""),"0B1609773")</f>
        <v>0B1609773</v>
      </c>
      <c r="C13" s="19" t="str">
        <f>IFERROR(__xludf.DUMMYFUNCTION("""COMPUTED_VALUE"""),"Nguyễn Duy Khanh")</f>
        <v>Nguyễn Duy Khanh</v>
      </c>
      <c r="D13" s="19">
        <f>IFERROR(__xludf.DUMMYFUNCTION("""COMPUTED_VALUE"""),0.35)</f>
        <v>0.35</v>
      </c>
      <c r="E13" s="19">
        <f>IFERROR(__xludf.DUMMYFUNCTION("""COMPUTED_VALUE"""),0.4)</f>
        <v>0.4</v>
      </c>
      <c r="F13" s="19">
        <f>IFERROR(__xludf.DUMMYFUNCTION("""COMPUTED_VALUE"""),0.0)</f>
        <v>0</v>
      </c>
      <c r="G13" s="19">
        <f>IFERROR(__xludf.DUMMYFUNCTION("""COMPUTED_VALUE"""),0.85)</f>
        <v>0.85</v>
      </c>
      <c r="H13" s="19">
        <f>IFERROR(__xludf.DUMMYFUNCTION("""COMPUTED_VALUE"""),6.5)</f>
        <v>6.5</v>
      </c>
      <c r="I13" s="31">
        <f>IFERROR(__xludf.DUMMYFUNCTION("""COMPUTED_VALUE"""),5.5)</f>
        <v>5.5</v>
      </c>
      <c r="J13" s="31">
        <f>IFERROR(__xludf.DUMMYFUNCTION("""COMPUTED_VALUE"""),6.5)</f>
        <v>6.5</v>
      </c>
      <c r="K13" s="19" t="str">
        <f>IFERROR(__xludf.DUMMYFUNCTION("""COMPUTED_VALUE"""),"C+")</f>
        <v>C+</v>
      </c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4.0"/>
    <col customWidth="1" min="4" max="6" width="12.0"/>
    <col customWidth="1" min="7" max="7" width="14.0"/>
    <col customWidth="1" min="8" max="9" width="12.0"/>
    <col customWidth="1" min="10" max="10" width="20.0"/>
    <col customWidth="1" min="11" max="11" width="12.0"/>
    <col customWidth="1" min="12" max="26" width="8.71"/>
  </cols>
  <sheetData>
    <row r="1" ht="15.0" customHeight="1">
      <c r="A1" s="29" t="s">
        <v>91</v>
      </c>
      <c r="B1" s="5"/>
      <c r="C1" s="5"/>
      <c r="D1" s="5"/>
      <c r="E1" s="5"/>
      <c r="F1" s="5"/>
      <c r="G1" s="5"/>
      <c r="H1" s="5"/>
      <c r="I1" s="5"/>
      <c r="J1" s="5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3" t="s">
        <v>4</v>
      </c>
      <c r="B2" s="27" t="s">
        <v>5</v>
      </c>
      <c r="C2" s="27" t="s">
        <v>51</v>
      </c>
      <c r="D2" s="23" t="s">
        <v>9</v>
      </c>
      <c r="E2" s="23" t="s">
        <v>12</v>
      </c>
      <c r="F2" s="23" t="s">
        <v>13</v>
      </c>
      <c r="G2" s="23" t="s">
        <v>52</v>
      </c>
      <c r="H2" s="23" t="s">
        <v>53</v>
      </c>
      <c r="I2" s="23" t="s">
        <v>54</v>
      </c>
      <c r="J2" s="23" t="s">
        <v>55</v>
      </c>
      <c r="K2" s="23" t="s">
        <v>56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7">
        <f>IFERROR(__xludf.DUMMYFUNCTION("FILTER('Tong hop diem'!A7:K20,('Tong hop diem'!J7:J20&gt;=7)*(('Tong hop diem'!K7:K20=""B+"")+('Tong hop diem'!K7:K20=""A"")))"),6.0)</f>
        <v>6</v>
      </c>
      <c r="B3" s="19" t="str">
        <f>IFERROR(__xludf.DUMMYFUNCTION("""COMPUTED_VALUE"""),"0B1605235")</f>
        <v>0B1605235</v>
      </c>
      <c r="C3" s="19" t="str">
        <f>IFERROR(__xludf.DUMMYFUNCTION("""COMPUTED_VALUE"""),"Phạm Thị Huỳnh")</f>
        <v>Phạm Thị Huỳnh</v>
      </c>
      <c r="D3" s="19">
        <f>IFERROR(__xludf.DUMMYFUNCTION("""COMPUTED_VALUE"""),0.4)</f>
        <v>0.4</v>
      </c>
      <c r="E3" s="19">
        <f>IFERROR(__xludf.DUMMYFUNCTION("""COMPUTED_VALUE"""),0.45)</f>
        <v>0.45</v>
      </c>
      <c r="F3" s="19">
        <f>IFERROR(__xludf.DUMMYFUNCTION("""COMPUTED_VALUE"""),0.5)</f>
        <v>0.5</v>
      </c>
      <c r="G3" s="19">
        <f>IFERROR(__xludf.DUMMYFUNCTION("""COMPUTED_VALUE"""),1.2)</f>
        <v>1.2</v>
      </c>
      <c r="H3" s="19">
        <f>IFERROR(__xludf.DUMMYFUNCTION("""COMPUTED_VALUE"""),7.5)</f>
        <v>7.5</v>
      </c>
      <c r="I3" s="31">
        <f>IFERROR(__xludf.DUMMYFUNCTION("""COMPUTED_VALUE"""),7.1)</f>
        <v>7.1</v>
      </c>
      <c r="J3" s="31">
        <f>IFERROR(__xludf.DUMMYFUNCTION("""COMPUTED_VALUE"""),8.1)</f>
        <v>8.1</v>
      </c>
      <c r="K3" s="19" t="str">
        <f>IFERROR(__xludf.DUMMYFUNCTION("""COMPUTED_VALUE"""),"B+")</f>
        <v>B+</v>
      </c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2026-09-22T12:25:22Z</dcterms:created>
  <dc:creator>openpyxl</dc:creator>
</cp:coreProperties>
</file>